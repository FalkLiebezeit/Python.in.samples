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filterPrivacy="1"/>
  <xr:revisionPtr revIDLastSave="0" documentId="13_ncr:1_{3E2F7C57-8381-4ECC-A08E-CE5210248E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verview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5" l="1"/>
  <c r="F67" i="5"/>
  <c r="E67" i="5"/>
  <c r="D67" i="5"/>
  <c r="C67" i="5"/>
  <c r="E4" i="5"/>
  <c r="F4" i="5"/>
  <c r="D4" i="5"/>
  <c r="C4" i="5"/>
  <c r="B54" i="5"/>
  <c r="E5" i="5" l="1"/>
  <c r="E6" i="5" s="1"/>
  <c r="E7" i="5" s="1"/>
  <c r="E8" i="5" s="1"/>
  <c r="E9" i="5" s="1"/>
  <c r="E10" i="5" s="1"/>
  <c r="E11" i="5" s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C5" i="5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D5" i="5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F5" i="5"/>
  <c r="F6" i="5" s="1"/>
  <c r="F7" i="5" s="1"/>
  <c r="F8" i="5" s="1"/>
  <c r="F9" i="5" s="1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F33" i="5" s="1"/>
  <c r="F34" i="5" s="1"/>
  <c r="F35" i="5" s="1"/>
  <c r="F36" i="5" s="1"/>
  <c r="F37" i="5" s="1"/>
  <c r="F38" i="5" s="1"/>
  <c r="F39" i="5" s="1"/>
  <c r="F40" i="5" s="1"/>
  <c r="F41" i="5" s="1"/>
  <c r="F42" i="5" s="1"/>
  <c r="F43" i="5" s="1"/>
  <c r="F44" i="5" s="1"/>
  <c r="F45" i="5" s="1"/>
  <c r="F46" i="5" s="1"/>
  <c r="F47" i="5" s="1"/>
  <c r="F48" i="5" s="1"/>
  <c r="F49" i="5" s="1"/>
  <c r="F50" i="5" s="1"/>
  <c r="E51" i="5"/>
  <c r="F51" i="5" l="1"/>
  <c r="F52" i="5" s="1"/>
  <c r="F53" i="5" s="1"/>
  <c r="E52" i="5"/>
  <c r="B56" i="5"/>
  <c r="B57" i="5" s="1"/>
  <c r="B58" i="5" s="1"/>
  <c r="B59" i="5" s="1"/>
  <c r="B60" i="5" s="1"/>
  <c r="B61" i="5" s="1"/>
  <c r="B62" i="5" s="1"/>
  <c r="B63" i="5" s="1"/>
  <c r="B64" i="5" s="1"/>
  <c r="B65" i="5" s="1"/>
  <c r="E53" i="5" l="1"/>
  <c r="G54" i="5" l="1"/>
  <c r="G55" i="5" l="1"/>
  <c r="G56" i="5" l="1"/>
  <c r="G57" i="5" l="1"/>
  <c r="G58" i="5" l="1"/>
  <c r="G59" i="5" l="1"/>
  <c r="G60" i="5" l="1"/>
  <c r="G61" i="5" l="1"/>
  <c r="G62" i="5" l="1"/>
  <c r="G63" i="5" l="1"/>
  <c r="G65" i="5" l="1"/>
  <c r="G64" i="5"/>
</calcChain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<sst xmlns="http://schemas.openxmlformats.org/spreadsheetml/2006/main" count="6" uniqueCount="6">
  <si>
    <t>Alter</t>
  </si>
  <si>
    <t>Datum</t>
  </si>
  <si>
    <t>Dietzgen 5</t>
  </si>
  <si>
    <t>Auersberg 33</t>
  </si>
  <si>
    <t>SL</t>
  </si>
  <si>
    <t>FFB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</si>
</sst>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#,##0\ &quot;€&quot;;[Red]\-#,##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#,##0.00\ &quot;€&quot;"/>
    <numFmt numFmtId="165" formatCode="_-* #,##0.00\ [$€-407]_-;\-* #,##0.00\ [$€-407]_-;_-* &quot;-&quot;??\ [$€-407]_-;_-@_-"/>
    <numFmt numFmtId="166" formatCode="0.0000%"/>
  </numFmts>
  <fonts count="5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2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9" fontId="3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7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0" fontId="2" fillId="0" borderId="0" xfId="0" applyNumberFormat="1" applyFont="1" applyAlignment="1">
      <alignment horizontal="center"/>
    </xf>
    <xf numFmtId="44" fontId="0" fillId="0" borderId="0" xfId="0" applyNumberFormat="1" applyAlignment="1">
      <alignment horizontal="center"/>
    </xf>
    <xf numFmtId="44" fontId="0" fillId="0" borderId="0" xfId="0" applyNumberFormat="1"/>
    <xf numFmtId="10" fontId="0" fillId="0" borderId="0" xfId="2" applyNumberFormat="1" applyFont="1"/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44" fontId="4" fillId="0" borderId="0" xfId="1" applyNumberFormat="1" applyFont="1" applyFill="1" applyBorder="1" applyAlignment="1">
      <alignment horizontal="center" vertical="center"/>
    </xf>
    <xf numFmtId="166" fontId="0" fillId="0" borderId="0" xfId="2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center" vertical="center"/>
    </xf>
    <xf numFmtId="6" fontId="0" fillId="0" borderId="0" xfId="0" applyNumberFormat="1" applyAlignment="1">
      <alignment horizontal="center"/>
    </xf>
    <xf numFmtId="8" fontId="0" fillId="0" borderId="0" xfId="0" applyNumberFormat="1"/>
    <xf numFmtId="9" fontId="0" fillId="0" borderId="0" xfId="0" applyNumberFormat="1"/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3">
    <cellStyle name="Neutral" xfId="1" builtinId="28"/>
    <cellStyle name="Prozent" xfId="2" builtinId="5"/>
    <cellStyle name="Standard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3/09/relationships/Python" Target="pyth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91EE1-B24C-441A-A952-E467D4FAA5EA}">
  <dimension ref="A1:L82"/>
  <sheetViews>
    <sheetView tabSelected="1" topLeftCell="A39" workbookViewId="0">
      <pane xSplit="1" topLeftCell="B1" activePane="topRight" state="frozen"/>
      <selection pane="topRight" activeCell="F72" sqref="F72"/>
    </sheetView>
  </sheetViews>
  <sheetFormatPr baseColWidth="10" defaultColWidth="11.42578125" defaultRowHeight="15" x14ac:dyDescent="0.25"/>
  <cols>
    <col min="1" max="1" width="20.7109375" customWidth="1"/>
    <col min="2" max="2" width="15.28515625" style="1" customWidth="1"/>
    <col min="3" max="3" width="15.5703125" style="1" customWidth="1"/>
    <col min="4" max="4" width="15.42578125" style="6" customWidth="1"/>
    <col min="5" max="5" width="14.5703125" style="1" customWidth="1"/>
    <col min="6" max="6" width="13.7109375" customWidth="1"/>
    <col min="7" max="7" width="15.85546875" customWidth="1"/>
    <col min="8" max="8" width="18.42578125" style="6" customWidth="1"/>
    <col min="9" max="9" width="16.140625" customWidth="1"/>
    <col min="10" max="10" width="17" customWidth="1"/>
    <col min="11" max="11" width="17.5703125" customWidth="1"/>
    <col min="12" max="12" width="17.42578125" customWidth="1"/>
    <col min="13" max="13" width="22.42578125" customWidth="1"/>
  </cols>
  <sheetData>
    <row r="1" spans="1:10" x14ac:dyDescent="0.2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</row>
    <row r="2" spans="1:10" ht="19.5" customHeight="1" x14ac:dyDescent="0.25"/>
    <row r="3" spans="1:10" ht="19.5" customHeight="1" x14ac:dyDescent="0.25">
      <c r="A3" s="22"/>
      <c r="B3" s="22"/>
      <c r="C3" s="22"/>
      <c r="D3" s="22"/>
      <c r="E3" s="22"/>
      <c r="F3" s="22"/>
    </row>
    <row r="4" spans="1:10" s="16" customFormat="1" ht="17.25" customHeight="1" x14ac:dyDescent="0.25">
      <c r="A4" s="11">
        <v>6</v>
      </c>
      <c r="B4" s="12">
        <v>27688</v>
      </c>
      <c r="C4" s="13">
        <f>10000</f>
        <v>10000</v>
      </c>
      <c r="D4" s="13">
        <f>10000</f>
        <v>10000</v>
      </c>
      <c r="E4" s="13">
        <f>10000</f>
        <v>10000</v>
      </c>
      <c r="F4" s="13">
        <f>10000</f>
        <v>10000</v>
      </c>
      <c r="G4" s="15"/>
      <c r="H4" s="6"/>
      <c r="J4" s="16">
        <v>10</v>
      </c>
    </row>
    <row r="5" spans="1:10" x14ac:dyDescent="0.25">
      <c r="A5" s="11">
        <v>7</v>
      </c>
      <c r="B5" s="12">
        <v>28054</v>
      </c>
      <c r="C5" s="13">
        <f>C4*$C$67</f>
        <v>10528</v>
      </c>
      <c r="D5" s="13">
        <f>D4*$D$67</f>
        <v>10471</v>
      </c>
      <c r="E5" s="13">
        <f>E4*$E$67</f>
        <v>10507</v>
      </c>
      <c r="F5" s="13">
        <f>F4*$F$67</f>
        <v>10452.999999999998</v>
      </c>
      <c r="J5">
        <f>J4*J9</f>
        <v>10.999999999999998</v>
      </c>
    </row>
    <row r="6" spans="1:10" x14ac:dyDescent="0.25">
      <c r="A6" s="11">
        <v>8</v>
      </c>
      <c r="B6" s="12">
        <v>28419</v>
      </c>
      <c r="C6" s="13">
        <f t="shared" ref="C6:C65" si="0">C5*$C$67</f>
        <v>11083.8784</v>
      </c>
      <c r="D6" s="13">
        <f t="shared" ref="D6:D65" si="1">D5*$D$67</f>
        <v>10964.184099999999</v>
      </c>
      <c r="E6" s="13">
        <f t="shared" ref="E6:E65" si="2">E5*$E$67</f>
        <v>11039.704899999999</v>
      </c>
      <c r="F6" s="13">
        <f t="shared" ref="F6:F65" si="3">F5*$F$67</f>
        <v>10926.520899999998</v>
      </c>
      <c r="H6" s="14"/>
      <c r="I6" s="10"/>
    </row>
    <row r="7" spans="1:10" x14ac:dyDescent="0.25">
      <c r="A7" s="11">
        <v>9</v>
      </c>
      <c r="B7" s="12">
        <v>28784</v>
      </c>
      <c r="C7" s="13">
        <f t="shared" si="0"/>
        <v>11669.107179519999</v>
      </c>
      <c r="D7" s="13">
        <f t="shared" si="1"/>
        <v>11480.597171109997</v>
      </c>
      <c r="E7" s="13">
        <f t="shared" si="2"/>
        <v>11599.417938429999</v>
      </c>
      <c r="F7" s="13">
        <f t="shared" si="3"/>
        <v>11421.492296769997</v>
      </c>
      <c r="H7" s="14"/>
      <c r="I7" s="10"/>
    </row>
    <row r="8" spans="1:10" x14ac:dyDescent="0.25">
      <c r="A8" s="11">
        <v>10</v>
      </c>
      <c r="B8" s="12">
        <v>29149</v>
      </c>
      <c r="C8" s="13">
        <f t="shared" si="0"/>
        <v>12285.236038598654</v>
      </c>
      <c r="D8" s="13">
        <f t="shared" si="1"/>
        <v>12021.333297869278</v>
      </c>
      <c r="E8" s="13">
        <f t="shared" si="2"/>
        <v>12187.508427908399</v>
      </c>
      <c r="F8" s="13">
        <f t="shared" si="3"/>
        <v>11938.885897813676</v>
      </c>
      <c r="H8" s="14"/>
      <c r="I8" s="10"/>
    </row>
    <row r="9" spans="1:10" x14ac:dyDescent="0.25">
      <c r="A9" s="11">
        <v>11</v>
      </c>
      <c r="B9" s="12">
        <v>29515</v>
      </c>
      <c r="C9" s="13">
        <f t="shared" si="0"/>
        <v>12933.896501436662</v>
      </c>
      <c r="D9" s="13">
        <f t="shared" si="1"/>
        <v>12587.538096198919</v>
      </c>
      <c r="E9" s="13">
        <f t="shared" si="2"/>
        <v>12805.415105203354</v>
      </c>
      <c r="F9" s="13">
        <f t="shared" si="3"/>
        <v>12479.717428984633</v>
      </c>
      <c r="G9" s="9"/>
      <c r="H9" s="14"/>
      <c r="I9" s="7"/>
      <c r="J9" s="20">
        <v>1.0999999999999999</v>
      </c>
    </row>
    <row r="10" spans="1:10" x14ac:dyDescent="0.25">
      <c r="A10" s="11">
        <v>12</v>
      </c>
      <c r="B10" s="12">
        <v>29880</v>
      </c>
      <c r="C10" s="13">
        <f t="shared" si="0"/>
        <v>13616.806236712517</v>
      </c>
      <c r="D10" s="13">
        <f t="shared" si="1"/>
        <v>13180.411140529888</v>
      </c>
      <c r="E10" s="13">
        <f t="shared" si="2"/>
        <v>13454.649651037163</v>
      </c>
      <c r="F10" s="13">
        <f t="shared" si="3"/>
        <v>13045.048628517636</v>
      </c>
      <c r="G10" s="9"/>
      <c r="H10" s="14"/>
      <c r="I10" s="7"/>
    </row>
    <row r="11" spans="1:10" x14ac:dyDescent="0.25">
      <c r="A11" s="11">
        <v>13</v>
      </c>
      <c r="B11" s="12">
        <v>30245</v>
      </c>
      <c r="C11" s="13">
        <f t="shared" si="0"/>
        <v>14335.773606010936</v>
      </c>
      <c r="D11" s="13">
        <f t="shared" si="1"/>
        <v>13801.208505248846</v>
      </c>
      <c r="E11" s="13">
        <f t="shared" si="2"/>
        <v>14136.800388344747</v>
      </c>
      <c r="F11" s="13">
        <f t="shared" si="3"/>
        <v>13635.989331389483</v>
      </c>
      <c r="G11" s="9"/>
      <c r="H11" s="14"/>
      <c r="I11" s="7"/>
    </row>
    <row r="12" spans="1:10" x14ac:dyDescent="0.25">
      <c r="A12" s="11">
        <v>14</v>
      </c>
      <c r="B12" s="12">
        <v>30610</v>
      </c>
      <c r="C12" s="13">
        <f t="shared" si="0"/>
        <v>15092.702452408314</v>
      </c>
      <c r="D12" s="13">
        <f t="shared" si="1"/>
        <v>14451.245425846066</v>
      </c>
      <c r="E12" s="13">
        <f t="shared" si="2"/>
        <v>14853.536168033825</v>
      </c>
      <c r="F12" s="13">
        <f t="shared" si="3"/>
        <v>14253.699648101425</v>
      </c>
      <c r="G12" s="9"/>
      <c r="H12" s="14"/>
      <c r="I12" s="7"/>
    </row>
    <row r="13" spans="1:10" x14ac:dyDescent="0.25">
      <c r="A13" s="11">
        <v>15</v>
      </c>
      <c r="B13" s="12">
        <v>30976</v>
      </c>
      <c r="C13" s="13">
        <f t="shared" si="0"/>
        <v>15889.597141895472</v>
      </c>
      <c r="D13" s="13">
        <f t="shared" si="1"/>
        <v>15131.899085403415</v>
      </c>
      <c r="E13" s="13">
        <f t="shared" si="2"/>
        <v>15606.610451753138</v>
      </c>
      <c r="F13" s="13">
        <f t="shared" si="3"/>
        <v>14899.392242160418</v>
      </c>
      <c r="G13" s="9"/>
      <c r="H13" s="14"/>
      <c r="I13" s="7"/>
    </row>
    <row r="14" spans="1:10" x14ac:dyDescent="0.25">
      <c r="A14" s="11">
        <v>16</v>
      </c>
      <c r="B14" s="12">
        <v>31341</v>
      </c>
      <c r="C14" s="13">
        <f t="shared" si="0"/>
        <v>16728.567870987554</v>
      </c>
      <c r="D14" s="13">
        <f t="shared" si="1"/>
        <v>15844.611532325915</v>
      </c>
      <c r="E14" s="13">
        <f t="shared" si="2"/>
        <v>16397.86560165702</v>
      </c>
      <c r="F14" s="13">
        <f t="shared" si="3"/>
        <v>15574.334710730283</v>
      </c>
      <c r="G14" s="9"/>
      <c r="H14" s="14"/>
      <c r="I14" s="7"/>
    </row>
    <row r="15" spans="1:10" x14ac:dyDescent="0.25">
      <c r="A15" s="11">
        <v>17</v>
      </c>
      <c r="B15" s="12">
        <v>31706</v>
      </c>
      <c r="C15" s="13">
        <f t="shared" si="0"/>
        <v>17611.836254575697</v>
      </c>
      <c r="D15" s="13">
        <f t="shared" si="1"/>
        <v>16590.892735498463</v>
      </c>
      <c r="E15" s="13">
        <f t="shared" si="2"/>
        <v>17229.237387661029</v>
      </c>
      <c r="F15" s="13">
        <f t="shared" si="3"/>
        <v>16279.852073126363</v>
      </c>
      <c r="G15" s="9"/>
      <c r="H15" s="14"/>
      <c r="I15" s="7"/>
    </row>
    <row r="16" spans="1:10" x14ac:dyDescent="0.25">
      <c r="A16" s="11">
        <v>18</v>
      </c>
      <c r="B16" s="12">
        <v>32071</v>
      </c>
      <c r="C16" s="13">
        <f t="shared" si="0"/>
        <v>18541.741208817293</v>
      </c>
      <c r="D16" s="13">
        <f t="shared" si="1"/>
        <v>17372.323783340438</v>
      </c>
      <c r="E16" s="13">
        <f t="shared" si="2"/>
        <v>18102.759723215444</v>
      </c>
      <c r="F16" s="13">
        <f t="shared" si="3"/>
        <v>17017.329372038985</v>
      </c>
      <c r="G16" s="9"/>
      <c r="H16" s="14"/>
      <c r="I16" s="7"/>
    </row>
    <row r="17" spans="1:9" x14ac:dyDescent="0.25">
      <c r="A17" s="11">
        <v>19</v>
      </c>
      <c r="B17" s="12">
        <v>32437</v>
      </c>
      <c r="C17" s="13">
        <f t="shared" si="0"/>
        <v>19520.745144642846</v>
      </c>
      <c r="D17" s="13">
        <f t="shared" si="1"/>
        <v>18190.560233535773</v>
      </c>
      <c r="E17" s="13">
        <f t="shared" si="2"/>
        <v>19020.569641182465</v>
      </c>
      <c r="F17" s="13">
        <f t="shared" si="3"/>
        <v>17788.214392592348</v>
      </c>
      <c r="G17" s="9"/>
      <c r="H17" s="14"/>
      <c r="I17" s="7"/>
    </row>
    <row r="18" spans="1:9" x14ac:dyDescent="0.25">
      <c r="A18" s="11">
        <v>20</v>
      </c>
      <c r="B18" s="12">
        <v>32802</v>
      </c>
      <c r="C18" s="13">
        <f t="shared" si="0"/>
        <v>20551.440488279986</v>
      </c>
      <c r="D18" s="13">
        <f t="shared" si="1"/>
        <v>19047.335620535305</v>
      </c>
      <c r="E18" s="13">
        <f t="shared" si="2"/>
        <v>19984.912521990416</v>
      </c>
      <c r="F18" s="13">
        <f t="shared" si="3"/>
        <v>18594.02050457678</v>
      </c>
      <c r="G18" s="9"/>
      <c r="H18" s="14"/>
      <c r="I18" s="7"/>
    </row>
    <row r="19" spans="1:9" x14ac:dyDescent="0.25">
      <c r="A19" s="11">
        <v>21</v>
      </c>
      <c r="B19" s="12">
        <v>33167</v>
      </c>
      <c r="C19" s="13">
        <f t="shared" si="0"/>
        <v>21636.556546061169</v>
      </c>
      <c r="D19" s="13">
        <f t="shared" si="1"/>
        <v>19944.465128262516</v>
      </c>
      <c r="E19" s="13">
        <f t="shared" si="2"/>
        <v>20998.147586855328</v>
      </c>
      <c r="F19" s="13">
        <f t="shared" si="3"/>
        <v>19436.329633434107</v>
      </c>
      <c r="G19" s="9"/>
      <c r="H19" s="14"/>
      <c r="I19" s="7"/>
    </row>
    <row r="20" spans="1:9" x14ac:dyDescent="0.25">
      <c r="A20" s="11">
        <v>22</v>
      </c>
      <c r="B20" s="12">
        <v>33532</v>
      </c>
      <c r="C20" s="13">
        <f t="shared" si="0"/>
        <v>22778.966731693199</v>
      </c>
      <c r="D20" s="13">
        <f t="shared" si="1"/>
        <v>20883.849435803681</v>
      </c>
      <c r="E20" s="13">
        <f t="shared" si="2"/>
        <v>22062.753669508893</v>
      </c>
      <c r="F20" s="13">
        <f t="shared" si="3"/>
        <v>20316.795365828668</v>
      </c>
      <c r="G20" s="9"/>
      <c r="H20" s="14"/>
      <c r="I20" s="7"/>
    </row>
    <row r="21" spans="1:9" x14ac:dyDescent="0.25">
      <c r="A21" s="11">
        <v>23</v>
      </c>
      <c r="B21" s="12">
        <v>33898</v>
      </c>
      <c r="C21" s="13">
        <f t="shared" si="0"/>
        <v>23981.696175126599</v>
      </c>
      <c r="D21" s="13">
        <f t="shared" si="1"/>
        <v>21867.478744230033</v>
      </c>
      <c r="E21" s="13">
        <f t="shared" si="2"/>
        <v>23181.335280552994</v>
      </c>
      <c r="F21" s="13">
        <f t="shared" si="3"/>
        <v>21237.146195900703</v>
      </c>
    </row>
    <row r="22" spans="1:9" x14ac:dyDescent="0.25">
      <c r="A22" s="11">
        <v>24</v>
      </c>
      <c r="B22" s="12">
        <v>34263</v>
      </c>
      <c r="C22" s="13">
        <f t="shared" si="0"/>
        <v>25247.929733173281</v>
      </c>
      <c r="D22" s="13">
        <f t="shared" si="1"/>
        <v>22897.436993083265</v>
      </c>
      <c r="E22" s="13">
        <f t="shared" si="2"/>
        <v>24356.628979277029</v>
      </c>
      <c r="F22" s="13">
        <f t="shared" si="3"/>
        <v>22199.188918575004</v>
      </c>
      <c r="G22" s="3"/>
    </row>
    <row r="23" spans="1:9" x14ac:dyDescent="0.25">
      <c r="A23" s="11">
        <v>25</v>
      </c>
      <c r="B23" s="12">
        <v>34628</v>
      </c>
      <c r="C23" s="13">
        <f t="shared" si="0"/>
        <v>26581.020423084829</v>
      </c>
      <c r="D23" s="13">
        <f t="shared" si="1"/>
        <v>23975.906275457484</v>
      </c>
      <c r="E23" s="13">
        <f t="shared" si="2"/>
        <v>25591.510068526375</v>
      </c>
      <c r="F23" s="13">
        <f t="shared" si="3"/>
        <v>23204.812176586449</v>
      </c>
      <c r="G23" s="1"/>
    </row>
    <row r="24" spans="1:9" x14ac:dyDescent="0.25">
      <c r="A24" s="11">
        <v>26</v>
      </c>
      <c r="B24" s="12">
        <v>34993</v>
      </c>
      <c r="C24" s="13">
        <f t="shared" si="0"/>
        <v>27984.498301423708</v>
      </c>
      <c r="D24" s="13">
        <f t="shared" si="1"/>
        <v>25105.171461031528</v>
      </c>
      <c r="E24" s="13">
        <f t="shared" si="2"/>
        <v>26888.99962900066</v>
      </c>
      <c r="F24" s="13">
        <f t="shared" si="3"/>
        <v>24255.990168185814</v>
      </c>
      <c r="G24" s="8"/>
    </row>
    <row r="25" spans="1:9" x14ac:dyDescent="0.25">
      <c r="A25" s="11">
        <v>27</v>
      </c>
      <c r="B25" s="12">
        <v>35359</v>
      </c>
      <c r="C25" s="13">
        <f t="shared" si="0"/>
        <v>29462.079811738877</v>
      </c>
      <c r="D25" s="13">
        <f t="shared" si="1"/>
        <v>26287.625036846111</v>
      </c>
      <c r="E25" s="13">
        <f t="shared" si="2"/>
        <v>28252.271910190993</v>
      </c>
      <c r="F25" s="13">
        <f t="shared" si="3"/>
        <v>25354.786522804628</v>
      </c>
      <c r="G25" s="1"/>
    </row>
    <row r="26" spans="1:9" x14ac:dyDescent="0.25">
      <c r="A26" s="11">
        <v>28</v>
      </c>
      <c r="B26" s="12">
        <v>35724</v>
      </c>
      <c r="C26" s="13">
        <f t="shared" si="0"/>
        <v>31017.677625798689</v>
      </c>
      <c r="D26" s="13">
        <f t="shared" si="1"/>
        <v>27525.772176081562</v>
      </c>
      <c r="E26" s="13">
        <f t="shared" si="2"/>
        <v>29684.662096037675</v>
      </c>
      <c r="F26" s="13">
        <f t="shared" si="3"/>
        <v>26503.358352287676</v>
      </c>
      <c r="G26" s="1"/>
    </row>
    <row r="27" spans="1:9" x14ac:dyDescent="0.25">
      <c r="A27" s="11">
        <v>29</v>
      </c>
      <c r="B27" s="12">
        <v>36089</v>
      </c>
      <c r="C27" s="13">
        <f t="shared" si="0"/>
        <v>32655.411004440859</v>
      </c>
      <c r="D27" s="13">
        <f t="shared" si="1"/>
        <v>28822.236045575002</v>
      </c>
      <c r="E27" s="13">
        <f t="shared" si="2"/>
        <v>31189.674464306783</v>
      </c>
      <c r="F27" s="13">
        <f t="shared" si="3"/>
        <v>27703.960485646305</v>
      </c>
      <c r="G27" s="18"/>
    </row>
    <row r="28" spans="1:9" x14ac:dyDescent="0.25">
      <c r="A28" s="11">
        <v>30</v>
      </c>
      <c r="B28" s="12">
        <v>36454</v>
      </c>
      <c r="C28" s="13">
        <f t="shared" si="0"/>
        <v>34379.616705475331</v>
      </c>
      <c r="D28" s="13">
        <f t="shared" si="1"/>
        <v>30179.763363321581</v>
      </c>
      <c r="E28" s="13">
        <f t="shared" si="2"/>
        <v>32770.990959647133</v>
      </c>
      <c r="F28" s="13">
        <f t="shared" si="3"/>
        <v>28958.949895646081</v>
      </c>
      <c r="G28" s="1"/>
    </row>
    <row r="29" spans="1:9" x14ac:dyDescent="0.25">
      <c r="A29" s="11">
        <v>31</v>
      </c>
      <c r="B29" s="12">
        <v>36820</v>
      </c>
      <c r="C29" s="13">
        <f t="shared" si="0"/>
        <v>36194.860467524428</v>
      </c>
      <c r="D29" s="13">
        <f t="shared" si="1"/>
        <v>31601.230217734024</v>
      </c>
      <c r="E29" s="13">
        <f t="shared" si="2"/>
        <v>34432.480201301245</v>
      </c>
      <c r="F29" s="13">
        <f t="shared" si="3"/>
        <v>30270.790325918846</v>
      </c>
      <c r="G29" s="1"/>
    </row>
    <row r="30" spans="1:9" x14ac:dyDescent="0.25">
      <c r="A30" s="11">
        <v>32</v>
      </c>
      <c r="B30" s="12">
        <v>37185</v>
      </c>
      <c r="C30" s="13">
        <f t="shared" si="0"/>
        <v>38105.949100209713</v>
      </c>
      <c r="D30" s="13">
        <f t="shared" si="1"/>
        <v>33089.648160989294</v>
      </c>
      <c r="E30" s="13">
        <f t="shared" si="2"/>
        <v>36178.20694750722</v>
      </c>
      <c r="F30" s="13">
        <f t="shared" si="3"/>
        <v>31642.057127682965</v>
      </c>
      <c r="G30" s="1"/>
    </row>
    <row r="31" spans="1:9" x14ac:dyDescent="0.25">
      <c r="A31" s="11">
        <v>33</v>
      </c>
      <c r="B31" s="12">
        <v>37550</v>
      </c>
      <c r="C31" s="13">
        <f t="shared" si="0"/>
        <v>40117.943212700782</v>
      </c>
      <c r="D31" s="13">
        <f t="shared" si="1"/>
        <v>34648.17058937189</v>
      </c>
      <c r="E31" s="13">
        <f t="shared" si="2"/>
        <v>38012.442039745838</v>
      </c>
      <c r="F31" s="13">
        <f t="shared" si="3"/>
        <v>33075.442315567001</v>
      </c>
      <c r="G31" s="1"/>
    </row>
    <row r="32" spans="1:9" x14ac:dyDescent="0.25">
      <c r="A32" s="11">
        <v>34</v>
      </c>
      <c r="B32" s="12">
        <v>37915</v>
      </c>
      <c r="C32" s="13">
        <f t="shared" si="0"/>
        <v>42236.170614331379</v>
      </c>
      <c r="D32" s="13">
        <f t="shared" si="1"/>
        <v>36280.099424131302</v>
      </c>
      <c r="E32" s="13">
        <f t="shared" si="2"/>
        <v>39939.672851160947</v>
      </c>
      <c r="F32" s="13">
        <f t="shared" si="3"/>
        <v>34573.759852462186</v>
      </c>
      <c r="G32" s="1"/>
    </row>
    <row r="33" spans="1:6" x14ac:dyDescent="0.25">
      <c r="A33" s="11">
        <v>35</v>
      </c>
      <c r="B33" s="12">
        <v>38281</v>
      </c>
      <c r="C33" s="13">
        <f t="shared" si="0"/>
        <v>44466.240422768074</v>
      </c>
      <c r="D33" s="13">
        <f t="shared" si="1"/>
        <v>37988.892107007887</v>
      </c>
      <c r="E33" s="13">
        <f t="shared" si="2"/>
        <v>41964.614264714808</v>
      </c>
      <c r="F33" s="13">
        <f t="shared" si="3"/>
        <v>36139.951173778718</v>
      </c>
    </row>
    <row r="34" spans="1:6" x14ac:dyDescent="0.25">
      <c r="A34" s="11">
        <v>36</v>
      </c>
      <c r="B34" s="12">
        <v>38646</v>
      </c>
      <c r="C34" s="13">
        <f t="shared" si="0"/>
        <v>46814.057917090227</v>
      </c>
      <c r="D34" s="13">
        <f t="shared" si="1"/>
        <v>39778.168925247955</v>
      </c>
      <c r="E34" s="13">
        <f t="shared" si="2"/>
        <v>44092.220207935847</v>
      </c>
      <c r="F34" s="13">
        <f t="shared" si="3"/>
        <v>37777.090961950889</v>
      </c>
    </row>
    <row r="35" spans="1:6" x14ac:dyDescent="0.25">
      <c r="A35" s="11">
        <v>37</v>
      </c>
      <c r="B35" s="12">
        <v>39011</v>
      </c>
      <c r="C35" s="13">
        <f t="shared" si="0"/>
        <v>49285.840175112593</v>
      </c>
      <c r="D35" s="13">
        <f t="shared" si="1"/>
        <v>41651.720681627128</v>
      </c>
      <c r="E35" s="13">
        <f t="shared" si="2"/>
        <v>46327.69577247819</v>
      </c>
      <c r="F35" s="13">
        <f t="shared" si="3"/>
        <v>39488.393182527259</v>
      </c>
    </row>
    <row r="36" spans="1:6" x14ac:dyDescent="0.25">
      <c r="A36" s="11">
        <v>38</v>
      </c>
      <c r="B36" s="12">
        <v>39376</v>
      </c>
      <c r="C36" s="13">
        <f t="shared" si="0"/>
        <v>51888.132536358535</v>
      </c>
      <c r="D36" s="13">
        <f t="shared" si="1"/>
        <v>43613.516725731766</v>
      </c>
      <c r="E36" s="13">
        <f t="shared" si="2"/>
        <v>48676.509948142833</v>
      </c>
      <c r="F36" s="13">
        <f t="shared" si="3"/>
        <v>41277.217393695741</v>
      </c>
    </row>
    <row r="37" spans="1:6" x14ac:dyDescent="0.25">
      <c r="A37" s="11">
        <v>39</v>
      </c>
      <c r="B37" s="12">
        <v>39742</v>
      </c>
      <c r="C37" s="13">
        <f t="shared" si="0"/>
        <v>54627.825934278262</v>
      </c>
      <c r="D37" s="13">
        <f t="shared" si="1"/>
        <v>45667.713363513729</v>
      </c>
      <c r="E37" s="13">
        <f t="shared" si="2"/>
        <v>51144.409002513676</v>
      </c>
      <c r="F37" s="13">
        <f t="shared" si="3"/>
        <v>43147.075341630152</v>
      </c>
    </row>
    <row r="38" spans="1:6" x14ac:dyDescent="0.25">
      <c r="A38" s="11">
        <v>40</v>
      </c>
      <c r="B38" s="12">
        <v>40107</v>
      </c>
      <c r="C38" s="13">
        <f t="shared" si="0"/>
        <v>57512.175143608154</v>
      </c>
      <c r="D38" s="13">
        <f t="shared" si="1"/>
        <v>47818.662662935225</v>
      </c>
      <c r="E38" s="13">
        <f t="shared" si="2"/>
        <v>53737.430538941117</v>
      </c>
      <c r="F38" s="13">
        <f t="shared" si="3"/>
        <v>45101.637854605993</v>
      </c>
    </row>
    <row r="39" spans="1:6" x14ac:dyDescent="0.25">
      <c r="A39" s="11">
        <v>41</v>
      </c>
      <c r="B39" s="12">
        <v>40472</v>
      </c>
      <c r="C39" s="13">
        <f t="shared" si="0"/>
        <v>60548.817991190663</v>
      </c>
      <c r="D39" s="13">
        <f t="shared" si="1"/>
        <v>50070.921674359473</v>
      </c>
      <c r="E39" s="13">
        <f t="shared" si="2"/>
        <v>56461.918267265428</v>
      </c>
      <c r="F39" s="13">
        <f t="shared" si="3"/>
        <v>47144.742049419641</v>
      </c>
    </row>
    <row r="40" spans="1:6" x14ac:dyDescent="0.25">
      <c r="A40" s="11">
        <v>42</v>
      </c>
      <c r="B40" s="12">
        <v>40837</v>
      </c>
      <c r="C40" s="13">
        <f t="shared" si="0"/>
        <v>63745.795581125531</v>
      </c>
      <c r="D40" s="13">
        <f t="shared" si="1"/>
        <v>52429.262085221802</v>
      </c>
      <c r="E40" s="13">
        <f t="shared" si="2"/>
        <v>59324.537523415784</v>
      </c>
      <c r="F40" s="13">
        <f t="shared" si="3"/>
        <v>49280.398864258343</v>
      </c>
    </row>
    <row r="41" spans="1:6" x14ac:dyDescent="0.25">
      <c r="A41" s="11">
        <v>43</v>
      </c>
      <c r="B41" s="12">
        <v>41203</v>
      </c>
      <c r="C41" s="13">
        <f t="shared" si="0"/>
        <v>67111.573587808962</v>
      </c>
      <c r="D41" s="13">
        <f t="shared" si="1"/>
        <v>54898.680329435745</v>
      </c>
      <c r="E41" s="13">
        <f t="shared" si="2"/>
        <v>62332.291575852963</v>
      </c>
      <c r="F41" s="13">
        <f t="shared" si="3"/>
        <v>51512.800932809238</v>
      </c>
    </row>
    <row r="42" spans="1:6" x14ac:dyDescent="0.25">
      <c r="A42" s="11">
        <v>44</v>
      </c>
      <c r="B42" s="12">
        <v>41568</v>
      </c>
      <c r="C42" s="13">
        <f t="shared" si="0"/>
        <v>70655.064673245273</v>
      </c>
      <c r="D42" s="13">
        <f t="shared" si="1"/>
        <v>57484.408172952164</v>
      </c>
      <c r="E42" s="13">
        <f t="shared" si="2"/>
        <v>65492.538758748706</v>
      </c>
      <c r="F42" s="13">
        <f t="shared" si="3"/>
        <v>53846.330815065492</v>
      </c>
    </row>
    <row r="43" spans="1:6" x14ac:dyDescent="0.25">
      <c r="A43" s="11">
        <v>45</v>
      </c>
      <c r="B43" s="12">
        <v>41933</v>
      </c>
      <c r="C43" s="13">
        <f t="shared" si="0"/>
        <v>74385.652087992625</v>
      </c>
      <c r="D43" s="13">
        <f t="shared" si="1"/>
        <v>60191.923797898206</v>
      </c>
      <c r="E43" s="13">
        <f t="shared" si="2"/>
        <v>68813.010473817267</v>
      </c>
      <c r="F43" s="13">
        <f t="shared" si="3"/>
        <v>56285.569600987954</v>
      </c>
    </row>
    <row r="44" spans="1:6" x14ac:dyDescent="0.25">
      <c r="A44" s="11">
        <v>46</v>
      </c>
      <c r="B44" s="12">
        <v>42298</v>
      </c>
      <c r="C44" s="13">
        <f t="shared" si="0"/>
        <v>78313.21451823863</v>
      </c>
      <c r="D44" s="13">
        <f t="shared" si="1"/>
        <v>63026.963408779207</v>
      </c>
      <c r="E44" s="13">
        <f t="shared" si="2"/>
        <v>72301.830104839799</v>
      </c>
      <c r="F44" s="13">
        <f t="shared" si="3"/>
        <v>58835.305903912704</v>
      </c>
    </row>
    <row r="45" spans="1:6" x14ac:dyDescent="0.25">
      <c r="A45" s="11">
        <v>47</v>
      </c>
      <c r="B45" s="12">
        <v>42664</v>
      </c>
      <c r="C45" s="13">
        <f t="shared" si="0"/>
        <v>82448.152244801633</v>
      </c>
      <c r="D45" s="13">
        <f t="shared" si="1"/>
        <v>65995.533385332703</v>
      </c>
      <c r="E45" s="13">
        <f t="shared" si="2"/>
        <v>75967.532891155177</v>
      </c>
      <c r="F45" s="13">
        <f t="shared" si="3"/>
        <v>61500.545261359941</v>
      </c>
    </row>
    <row r="46" spans="1:6" x14ac:dyDescent="0.25">
      <c r="A46" s="11">
        <v>48</v>
      </c>
      <c r="B46" s="12">
        <v>43029</v>
      </c>
      <c r="C46" s="13">
        <f t="shared" si="0"/>
        <v>86801.414683327152</v>
      </c>
      <c r="D46" s="13">
        <f t="shared" si="1"/>
        <v>69103.923007781865</v>
      </c>
      <c r="E46" s="13">
        <f t="shared" si="2"/>
        <v>79819.086808736742</v>
      </c>
      <c r="F46" s="13">
        <f t="shared" si="3"/>
        <v>64286.519961699538</v>
      </c>
    </row>
    <row r="47" spans="1:6" x14ac:dyDescent="0.25">
      <c r="A47" s="11">
        <v>49</v>
      </c>
      <c r="B47" s="12">
        <v>43394</v>
      </c>
      <c r="C47" s="13">
        <f t="shared" si="0"/>
        <v>91384.529378606821</v>
      </c>
      <c r="D47" s="13">
        <f t="shared" si="1"/>
        <v>72358.717781448388</v>
      </c>
      <c r="E47" s="13">
        <f t="shared" si="2"/>
        <v>83865.914509939685</v>
      </c>
      <c r="F47" s="13">
        <f t="shared" si="3"/>
        <v>67198.699315964521</v>
      </c>
    </row>
    <row r="48" spans="1:6" x14ac:dyDescent="0.25">
      <c r="A48" s="11">
        <v>50</v>
      </c>
      <c r="B48" s="12">
        <v>43759</v>
      </c>
      <c r="C48" s="13">
        <f t="shared" si="0"/>
        <v>96209.632529797251</v>
      </c>
      <c r="D48" s="13">
        <f t="shared" si="1"/>
        <v>75766.813388954601</v>
      </c>
      <c r="E48" s="13">
        <f t="shared" si="2"/>
        <v>88117.916375593617</v>
      </c>
      <c r="F48" s="13">
        <f t="shared" si="3"/>
        <v>70242.800394977705</v>
      </c>
    </row>
    <row r="49" spans="1:12" x14ac:dyDescent="0.25">
      <c r="A49" s="11">
        <v>51</v>
      </c>
      <c r="B49" s="12">
        <v>44125</v>
      </c>
      <c r="C49" s="13">
        <f t="shared" si="0"/>
        <v>101289.50112737055</v>
      </c>
      <c r="D49" s="13">
        <f t="shared" si="1"/>
        <v>79335.430299574349</v>
      </c>
      <c r="E49" s="13">
        <f t="shared" si="2"/>
        <v>92585.494735836211</v>
      </c>
      <c r="F49" s="13">
        <f t="shared" si="3"/>
        <v>73424.799252870187</v>
      </c>
    </row>
    <row r="50" spans="1:12" x14ac:dyDescent="0.25">
      <c r="A50" s="11">
        <v>52</v>
      </c>
      <c r="B50" s="12">
        <v>44490</v>
      </c>
      <c r="C50" s="13">
        <f t="shared" si="0"/>
        <v>106637.5867868957</v>
      </c>
      <c r="D50" s="13">
        <f t="shared" si="1"/>
        <v>83072.129066684298</v>
      </c>
      <c r="E50" s="13">
        <f t="shared" si="2"/>
        <v>97279.579318943099</v>
      </c>
      <c r="F50" s="13">
        <f t="shared" si="3"/>
        <v>76750.942659025197</v>
      </c>
    </row>
    <row r="51" spans="1:12" x14ac:dyDescent="0.25">
      <c r="A51" s="11">
        <v>53</v>
      </c>
      <c r="B51" s="12">
        <v>44855</v>
      </c>
      <c r="C51" s="13">
        <f t="shared" si="0"/>
        <v>112268.05136924378</v>
      </c>
      <c r="D51" s="13">
        <f t="shared" si="1"/>
        <v>86984.826345725116</v>
      </c>
      <c r="E51" s="13">
        <f t="shared" si="2"/>
        <v>102211.65399041351</v>
      </c>
      <c r="F51" s="13">
        <f t="shared" si="3"/>
        <v>80227.760361479028</v>
      </c>
    </row>
    <row r="52" spans="1:12" x14ac:dyDescent="0.25">
      <c r="A52" s="11">
        <v>54</v>
      </c>
      <c r="B52" s="12">
        <v>45220</v>
      </c>
      <c r="C52" s="13">
        <f t="shared" si="0"/>
        <v>118195.80448153985</v>
      </c>
      <c r="D52" s="13">
        <f t="shared" si="1"/>
        <v>91081.811666608759</v>
      </c>
      <c r="E52" s="13">
        <f t="shared" si="2"/>
        <v>107393.78484772748</v>
      </c>
      <c r="F52" s="13">
        <f t="shared" si="3"/>
        <v>83862.077905854021</v>
      </c>
    </row>
    <row r="53" spans="1:12" x14ac:dyDescent="0.25">
      <c r="A53" s="11">
        <v>55</v>
      </c>
      <c r="B53" s="12">
        <v>45586</v>
      </c>
      <c r="C53" s="13">
        <f t="shared" si="0"/>
        <v>124436.54295816514</v>
      </c>
      <c r="D53" s="13">
        <f t="shared" si="1"/>
        <v>95371.764996106023</v>
      </c>
      <c r="E53" s="13">
        <f t="shared" si="2"/>
        <v>112838.64973950727</v>
      </c>
      <c r="F53" s="13">
        <f t="shared" si="3"/>
        <v>87661.030034989206</v>
      </c>
    </row>
    <row r="54" spans="1:12" x14ac:dyDescent="0.25">
      <c r="A54" s="11">
        <v>56</v>
      </c>
      <c r="B54" s="12">
        <f ca="1">TODAY()</f>
        <v>45822</v>
      </c>
      <c r="C54" s="19">
        <v>131000</v>
      </c>
      <c r="D54" s="19">
        <v>100000</v>
      </c>
      <c r="E54" s="19">
        <v>118100</v>
      </c>
      <c r="F54" s="19">
        <v>91700</v>
      </c>
      <c r="G54" s="9">
        <f>SUM(C54:F54)</f>
        <v>440800</v>
      </c>
      <c r="I54" s="19">
        <v>131000</v>
      </c>
      <c r="J54" s="19">
        <v>100000</v>
      </c>
      <c r="K54" s="19">
        <v>118100</v>
      </c>
      <c r="L54" s="19">
        <v>91700</v>
      </c>
    </row>
    <row r="55" spans="1:12" x14ac:dyDescent="0.25">
      <c r="A55" s="11">
        <v>57</v>
      </c>
      <c r="B55" s="12">
        <v>46316</v>
      </c>
      <c r="C55" s="19">
        <v>132013.54999999999</v>
      </c>
      <c r="D55" s="19">
        <v>103166.8</v>
      </c>
      <c r="E55" s="19">
        <v>122564.15</v>
      </c>
      <c r="F55" s="19">
        <v>98984.89</v>
      </c>
      <c r="G55" s="9">
        <f t="shared" ref="G55:G65" si="4">SUM(C55:F55)</f>
        <v>456729.39</v>
      </c>
      <c r="I55" s="19">
        <v>132013.54999999999</v>
      </c>
      <c r="J55" s="19">
        <v>103166.8</v>
      </c>
      <c r="K55" s="19">
        <v>122564.15</v>
      </c>
      <c r="L55" s="19">
        <v>98984.89</v>
      </c>
    </row>
    <row r="56" spans="1:12" x14ac:dyDescent="0.25">
      <c r="A56" s="11">
        <v>58</v>
      </c>
      <c r="B56" s="12">
        <f t="shared" ref="B56:B65" si="5">B55+365</f>
        <v>46681</v>
      </c>
      <c r="C56" s="19">
        <v>133034.94</v>
      </c>
      <c r="D56" s="19">
        <v>106433.89</v>
      </c>
      <c r="E56" s="19">
        <v>127197.05</v>
      </c>
      <c r="F56" s="19">
        <v>106848.51</v>
      </c>
      <c r="G56" s="9">
        <f t="shared" si="4"/>
        <v>473514.39</v>
      </c>
      <c r="I56" s="19">
        <v>133034.94</v>
      </c>
      <c r="J56" s="19">
        <v>106433.89</v>
      </c>
      <c r="K56" s="19">
        <v>127197.05</v>
      </c>
      <c r="L56" s="19">
        <v>106848.51</v>
      </c>
    </row>
    <row r="57" spans="1:12" x14ac:dyDescent="0.25">
      <c r="A57" s="11">
        <v>59</v>
      </c>
      <c r="B57" s="12">
        <f t="shared" si="5"/>
        <v>47046</v>
      </c>
      <c r="C57" s="19">
        <v>134064.24</v>
      </c>
      <c r="D57" s="19">
        <v>109804.45</v>
      </c>
      <c r="E57" s="19">
        <v>132005.07</v>
      </c>
      <c r="F57" s="19">
        <v>115336.83</v>
      </c>
      <c r="G57" s="9">
        <f t="shared" si="4"/>
        <v>491210.59</v>
      </c>
      <c r="I57" s="19">
        <v>134064.24</v>
      </c>
      <c r="J57" s="19">
        <v>109804.45</v>
      </c>
      <c r="K57" s="19">
        <v>132005.07</v>
      </c>
      <c r="L57" s="19">
        <v>115336.83</v>
      </c>
    </row>
    <row r="58" spans="1:12" x14ac:dyDescent="0.25">
      <c r="A58" s="11">
        <v>60</v>
      </c>
      <c r="B58" s="12">
        <f t="shared" si="5"/>
        <v>47411</v>
      </c>
      <c r="C58" s="19">
        <v>135101.5</v>
      </c>
      <c r="D58" s="19">
        <v>113281.74</v>
      </c>
      <c r="E58" s="19">
        <v>136994.82999999999</v>
      </c>
      <c r="F58" s="19">
        <v>124499.49</v>
      </c>
      <c r="G58" s="9">
        <f t="shared" si="4"/>
        <v>509877.55999999994</v>
      </c>
      <c r="I58" s="19">
        <v>135101.5</v>
      </c>
      <c r="J58" s="19">
        <v>113281.74</v>
      </c>
      <c r="K58" s="19">
        <v>136994.82999999999</v>
      </c>
      <c r="L58" s="19">
        <v>124499.49</v>
      </c>
    </row>
    <row r="59" spans="1:12" x14ac:dyDescent="0.25">
      <c r="A59" s="11">
        <v>61</v>
      </c>
      <c r="B59" s="12">
        <f t="shared" si="5"/>
        <v>47776</v>
      </c>
      <c r="C59" s="19">
        <v>136146.78</v>
      </c>
      <c r="D59" s="19">
        <v>116869.15</v>
      </c>
      <c r="E59" s="19">
        <v>142173.20000000001</v>
      </c>
      <c r="F59" s="19">
        <v>134390.04999999999</v>
      </c>
      <c r="G59" s="9">
        <f t="shared" si="4"/>
        <v>529579.17999999993</v>
      </c>
      <c r="I59" s="19">
        <v>136146.78</v>
      </c>
      <c r="J59" s="19">
        <v>116869.15</v>
      </c>
      <c r="K59" s="19">
        <v>142173.20000000001</v>
      </c>
      <c r="L59" s="19">
        <v>134390.04999999999</v>
      </c>
    </row>
    <row r="60" spans="1:12" x14ac:dyDescent="0.25">
      <c r="A60" s="11">
        <v>62</v>
      </c>
      <c r="B60" s="12">
        <f t="shared" si="5"/>
        <v>48141</v>
      </c>
      <c r="C60" s="19">
        <v>137200.15</v>
      </c>
      <c r="D60" s="19">
        <v>120570.17</v>
      </c>
      <c r="E60" s="19">
        <v>147547.32</v>
      </c>
      <c r="F60" s="19">
        <v>145066.35</v>
      </c>
      <c r="G60" s="9">
        <f t="shared" si="4"/>
        <v>550383.99</v>
      </c>
      <c r="I60" s="19">
        <v>137200.15</v>
      </c>
      <c r="J60" s="19">
        <v>120570.17</v>
      </c>
      <c r="K60" s="19">
        <v>147547.32</v>
      </c>
      <c r="L60" s="19">
        <v>145066.35</v>
      </c>
    </row>
    <row r="61" spans="1:12" x14ac:dyDescent="0.25">
      <c r="A61" s="11">
        <v>63</v>
      </c>
      <c r="B61" s="12">
        <f t="shared" si="5"/>
        <v>48506</v>
      </c>
      <c r="C61" s="19">
        <v>138261.68</v>
      </c>
      <c r="D61" s="19">
        <v>124388.39</v>
      </c>
      <c r="E61" s="19">
        <v>153124.57</v>
      </c>
      <c r="F61" s="19">
        <v>156590.79999999999</v>
      </c>
      <c r="G61" s="9">
        <f t="shared" si="4"/>
        <v>572365.43999999994</v>
      </c>
      <c r="I61" s="19">
        <v>138261.68</v>
      </c>
      <c r="J61" s="19">
        <v>124388.39</v>
      </c>
      <c r="K61" s="19">
        <v>153124.57</v>
      </c>
      <c r="L61" s="19">
        <v>156590.79999999999</v>
      </c>
    </row>
    <row r="62" spans="1:12" x14ac:dyDescent="0.25">
      <c r="A62" s="11">
        <v>64</v>
      </c>
      <c r="B62" s="12">
        <f t="shared" si="5"/>
        <v>48871</v>
      </c>
      <c r="C62" s="19">
        <v>139331.41</v>
      </c>
      <c r="D62" s="19">
        <v>128327.52</v>
      </c>
      <c r="E62" s="19">
        <v>158912.65</v>
      </c>
      <c r="F62" s="19">
        <v>169030.78</v>
      </c>
      <c r="G62" s="9">
        <f t="shared" si="4"/>
        <v>595602.36</v>
      </c>
      <c r="I62" s="19">
        <v>139331.41</v>
      </c>
      <c r="J62" s="19">
        <v>128327.52</v>
      </c>
      <c r="K62" s="19">
        <v>158912.65</v>
      </c>
      <c r="L62" s="19">
        <v>169030.78</v>
      </c>
    </row>
    <row r="63" spans="1:12" x14ac:dyDescent="0.25">
      <c r="A63" s="11">
        <v>65</v>
      </c>
      <c r="B63" s="12">
        <f t="shared" si="5"/>
        <v>49236</v>
      </c>
      <c r="C63" s="19">
        <v>140409.42000000001</v>
      </c>
      <c r="D63" s="19">
        <v>132391.41</v>
      </c>
      <c r="E63" s="19">
        <v>164919.51</v>
      </c>
      <c r="F63" s="19">
        <v>182459.03</v>
      </c>
      <c r="G63" s="9">
        <f t="shared" si="4"/>
        <v>620179.37</v>
      </c>
      <c r="I63" s="19">
        <v>140409.42000000001</v>
      </c>
      <c r="J63" s="19">
        <v>132391.41</v>
      </c>
      <c r="K63" s="19">
        <v>164919.51</v>
      </c>
      <c r="L63" s="19">
        <v>182459.03</v>
      </c>
    </row>
    <row r="64" spans="1:12" x14ac:dyDescent="0.25">
      <c r="A64" s="11">
        <v>66</v>
      </c>
      <c r="B64" s="12">
        <f t="shared" si="5"/>
        <v>49601</v>
      </c>
      <c r="C64" s="19">
        <v>141495.76999999999</v>
      </c>
      <c r="D64" s="19">
        <v>136583.98000000001</v>
      </c>
      <c r="E64" s="19">
        <v>171153.43</v>
      </c>
      <c r="F64" s="19">
        <v>196954.05</v>
      </c>
      <c r="G64" s="9">
        <f t="shared" si="4"/>
        <v>646187.23</v>
      </c>
      <c r="I64" s="19">
        <v>141495.76999999999</v>
      </c>
      <c r="J64" s="19">
        <v>136583.98000000001</v>
      </c>
      <c r="K64" s="19">
        <v>171153.43</v>
      </c>
      <c r="L64" s="19">
        <v>196954.05</v>
      </c>
    </row>
    <row r="65" spans="1:12" x14ac:dyDescent="0.25">
      <c r="A65" s="11">
        <v>67</v>
      </c>
      <c r="B65" s="12">
        <f t="shared" si="5"/>
        <v>49966</v>
      </c>
      <c r="C65" s="19">
        <v>142590.53</v>
      </c>
      <c r="D65" s="19">
        <v>140909.32999999999</v>
      </c>
      <c r="E65" s="19">
        <v>177622.99</v>
      </c>
      <c r="F65" s="19">
        <v>212600.6</v>
      </c>
      <c r="G65" s="9">
        <f t="shared" si="4"/>
        <v>673723.45</v>
      </c>
      <c r="I65" s="19">
        <v>142590.53</v>
      </c>
      <c r="J65" s="19">
        <v>140909.32999999999</v>
      </c>
      <c r="K65" s="19">
        <v>177622.99</v>
      </c>
      <c r="L65" s="19">
        <v>212600.6</v>
      </c>
    </row>
    <row r="67" spans="1:12" x14ac:dyDescent="0.25">
      <c r="C67" s="2">
        <f>1.0528</f>
        <v>1.0528</v>
      </c>
      <c r="D67" s="2">
        <f>1.0471</f>
        <v>1.0470999999999999</v>
      </c>
      <c r="E67" s="2">
        <f>1.0507</f>
        <v>1.0507</v>
      </c>
      <c r="F67" s="2">
        <f>1.0453</f>
        <v>1.0452999999999999</v>
      </c>
    </row>
    <row r="68" spans="1:12" x14ac:dyDescent="0.25">
      <c r="F68" s="3"/>
    </row>
    <row r="74" spans="1:12" x14ac:dyDescent="0.25">
      <c r="C74" s="3"/>
      <c r="D74" s="3"/>
      <c r="E74" s="3"/>
      <c r="F74" s="3"/>
    </row>
    <row r="75" spans="1:12" x14ac:dyDescent="0.25">
      <c r="C75" s="4"/>
      <c r="D75" s="4"/>
      <c r="E75" s="4"/>
      <c r="F75" s="4"/>
    </row>
    <row r="76" spans="1:12" x14ac:dyDescent="0.25">
      <c r="A76" s="1"/>
      <c r="C76" s="8"/>
      <c r="D76" s="8"/>
      <c r="E76" s="8"/>
      <c r="F76" s="8"/>
    </row>
    <row r="77" spans="1:12" x14ac:dyDescent="0.25">
      <c r="A77" s="1"/>
      <c r="C77" s="8"/>
      <c r="D77" s="8"/>
      <c r="E77" s="8"/>
      <c r="F77" s="8"/>
    </row>
    <row r="78" spans="1:12" x14ac:dyDescent="0.25">
      <c r="A78" s="1"/>
      <c r="B78" s="5"/>
      <c r="C78" s="8"/>
      <c r="D78" s="8"/>
      <c r="E78" s="8"/>
      <c r="F78" s="8"/>
    </row>
    <row r="79" spans="1:12" x14ac:dyDescent="0.25">
      <c r="A79" s="1"/>
      <c r="C79" s="8"/>
      <c r="D79" s="8"/>
      <c r="E79" s="8"/>
      <c r="F79" s="8"/>
    </row>
    <row r="80" spans="1:12" x14ac:dyDescent="0.25">
      <c r="A80" s="1"/>
      <c r="C80" s="8"/>
      <c r="D80" s="8"/>
      <c r="E80" s="8"/>
      <c r="F80" s="8"/>
    </row>
    <row r="81" spans="3:6" x14ac:dyDescent="0.25">
      <c r="C81" s="4"/>
      <c r="E81" s="8"/>
      <c r="F81" s="8"/>
    </row>
    <row r="82" spans="3:6" x14ac:dyDescent="0.25">
      <c r="C82" s="4"/>
      <c r="D82" s="17"/>
      <c r="E82" s="17"/>
      <c r="F82" s="17"/>
    </row>
  </sheetData>
  <conditionalFormatting sqref="C74:F74">
    <cfRule type="cellIs" dxfId="0" priority="1" operator="greaterThan">
      <formula>1.0436</formula>
    </cfRule>
  </conditionalFormatting>
  <pageMargins left="0.7" right="0.7" top="0.78740157499999996" bottom="0.78740157499999996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Overview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2025-06-13T23:06:08Z</dcterms:modified>
  <cp:category/>
  <cp:contentStatus/>
</cp:coreProperties>
</file>